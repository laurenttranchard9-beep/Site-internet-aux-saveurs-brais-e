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e" sheetId="1" state="visible" r:id="rId3"/>
    <sheet name="Résumé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<sst xmlns="http://schemas.openxmlformats.org/spreadsheetml/2006/main" count="304" uniqueCount="173">
  <si>
    <t xml:space="preserve">Aux Saveurs Braisées · La carte</t>
  </si>
  <si>
    <t xml:space="preserve">Source : document « Menu Aux Saveurs Braisées - 2023 » fourni par le restaurant. Prix nets en euros, service compris.</t>
  </si>
  <si>
    <t xml:space="preserve">Catégorie</t>
  </si>
  <si>
    <t xml:space="preserve">Plat</t>
  </si>
  <si>
    <t xml:space="preserve">Précision</t>
  </si>
  <si>
    <t xml:space="preserve">Prix (€)</t>
  </si>
  <si>
    <t xml:space="preserve">Formules</t>
  </si>
  <si>
    <t xml:space="preserve">Formule midi : Entrée + Plat + Dessert</t>
  </si>
  <si>
    <t xml:space="preserve">Du mardi au vendredi midi, sauf jours fériés.</t>
  </si>
  <si>
    <t xml:space="preserve">Formule midi : Entrée + Plat ou Plat + Dessert</t>
  </si>
  <si>
    <t xml:space="preserve">Menu enfant : Steak / Frites</t>
  </si>
  <si>
    <t xml:space="preserve">Jusqu'à 10 ans. Sirop au choix, steak frites et 1 boule de glace.</t>
  </si>
  <si>
    <t xml:space="preserve">Menu enfant : Pâtes au saumon</t>
  </si>
  <si>
    <t xml:space="preserve">Jusqu'à 10 ans. Sirop au choix, pâtes au saumon et 1 boule de glace.</t>
  </si>
  <si>
    <t xml:space="preserve">À partager</t>
  </si>
  <si>
    <t xml:space="preserve">Bruschetta</t>
  </si>
  <si>
    <t xml:space="preserve">Magret, foie gras, oignons confits.</t>
  </si>
  <si>
    <t xml:space="preserve">Poulet pané</t>
  </si>
  <si>
    <t xml:space="preserve">L'os à moelle</t>
  </si>
  <si>
    <t xml:space="preserve">Supplément foie gras : 4 €.</t>
  </si>
  <si>
    <t xml:space="preserve">Trilogie de croquetas</t>
  </si>
  <si>
    <t xml:space="preserve">Morue, jambon, cèpes.</t>
  </si>
  <si>
    <t xml:space="preserve">Ardoise de charcuterie</t>
  </si>
  <si>
    <t xml:space="preserve">Œuf poché</t>
  </si>
  <si>
    <t xml:space="preserve">Foie gras</t>
  </si>
  <si>
    <t xml:space="preserve">Patatas bravas</t>
  </si>
  <si>
    <t xml:space="preserve">Pan con tomate</t>
  </si>
  <si>
    <t xml:space="preserve">Supplément Serrano : 4 €.</t>
  </si>
  <si>
    <t xml:space="preserve">Burrata</t>
  </si>
  <si>
    <t xml:space="preserve">Mer</t>
  </si>
  <si>
    <t xml:space="preserve">Couteaux</t>
  </si>
  <si>
    <t xml:space="preserve">Encornets</t>
  </si>
  <si>
    <t xml:space="preserve">Gambas</t>
  </si>
  <si>
    <t xml:space="preserve">Salades</t>
  </si>
  <si>
    <t xml:space="preserve">Salade Méditerranée</t>
  </si>
  <si>
    <t xml:space="preserve">Couteaux, Saint-Jacques, encornets, gambas.</t>
  </si>
  <si>
    <t xml:space="preserve">Salade Gersoise</t>
  </si>
  <si>
    <t xml:space="preserve">Foie gras, magret grillé, gésier confit, noix.</t>
  </si>
  <si>
    <t xml:space="preserve">Salade Caesar</t>
  </si>
  <si>
    <t xml:space="preserve">Poulet mariné, croûtons, avocat, œuf poché, parmesan.</t>
  </si>
  <si>
    <t xml:space="preserve">Poissons braisés &amp; fruits de mer</t>
  </si>
  <si>
    <t xml:space="preserve">Saint-Jacques à la crème</t>
  </si>
  <si>
    <t xml:space="preserve">Accompagnement au choix : frites, pâtes, risotto ou légumes à la provençale.</t>
  </si>
  <si>
    <t xml:space="preserve">Daurade à la braise</t>
  </si>
  <si>
    <t xml:space="preserve">Tartare de saumon</t>
  </si>
  <si>
    <t xml:space="preserve">Tagliatelle au saumon</t>
  </si>
  <si>
    <t xml:space="preserve">Seiche grillée à la plancha</t>
  </si>
  <si>
    <t xml:space="preserve">Pavé de saumon à la braise</t>
  </si>
  <si>
    <t xml:space="preserve">Brochette duo Saint-Jacques et gambas</t>
  </si>
  <si>
    <t xml:space="preserve">Viandes</t>
  </si>
  <si>
    <t xml:space="preserve">Souris d'agneau (200 g)</t>
  </si>
  <si>
    <t xml:space="preserve">Entrecôte (280 g)</t>
  </si>
  <si>
    <t xml:space="preserve">Demi-magret de canard</t>
  </si>
  <si>
    <t xml:space="preserve">Tartare de bœuf</t>
  </si>
  <si>
    <t xml:space="preserve">Feuille d'entrecôte (180 g)</t>
  </si>
  <si>
    <t xml:space="preserve">Pièce du boucher</t>
  </si>
  <si>
    <t xml:space="preserve">Selon arrivage.</t>
  </si>
  <si>
    <t xml:space="preserve">Carpaccio de bœuf</t>
  </si>
  <si>
    <t xml:space="preserve">Carpaccio de bœuf royal</t>
  </si>
  <si>
    <t xml:space="preserve">Avec burrata.</t>
  </si>
  <si>
    <t xml:space="preserve">Brochette de bœuf mariné</t>
  </si>
  <si>
    <t xml:space="preserve">Brochette de poulet mariné</t>
  </si>
  <si>
    <t xml:space="preserve">Côte de bœuf maturée (1 kg)</t>
  </si>
  <si>
    <t xml:space="preserve">Pour 2 personnes.</t>
  </si>
  <si>
    <t xml:space="preserve">Sur demande</t>
  </si>
  <si>
    <t xml:space="preserve">Burgers braisés</t>
  </si>
  <si>
    <t xml:space="preserve">Burger de bœuf / Frites</t>
  </si>
  <si>
    <t xml:space="preserve">Burger de magret / Frites</t>
  </si>
  <si>
    <t xml:space="preserve">Burger V.G / Frites</t>
  </si>
  <si>
    <t xml:space="preserve">Desserts</t>
  </si>
  <si>
    <t xml:space="preserve">Champagne gourmand</t>
  </si>
  <si>
    <t xml:space="preserve">Café gourmand</t>
  </si>
  <si>
    <t xml:space="preserve">Thé gourmand</t>
  </si>
  <si>
    <t xml:space="preserve">Panna cotta</t>
  </si>
  <si>
    <t xml:space="preserve">Tiramisu</t>
  </si>
  <si>
    <t xml:space="preserve">Carpaccio d'ananas</t>
  </si>
  <si>
    <t xml:space="preserve">Profiteroles</t>
  </si>
  <si>
    <t xml:space="preserve">Crème brûlée</t>
  </si>
  <si>
    <t xml:space="preserve">Banoffee</t>
  </si>
  <si>
    <t xml:space="preserve">Dessert du moment</t>
  </si>
  <si>
    <t xml:space="preserve">Glaces &amp; sorbets</t>
  </si>
  <si>
    <t xml:space="preserve">Café liégeois</t>
  </si>
  <si>
    <t xml:space="preserve">Chocolat liégeois</t>
  </si>
  <si>
    <t xml:space="preserve">Dame blanche</t>
  </si>
  <si>
    <t xml:space="preserve">Colonel</t>
  </si>
  <si>
    <t xml:space="preserve">Glace ou sorbet : 1 boule</t>
  </si>
  <si>
    <t xml:space="preserve">Parfum au choix.</t>
  </si>
  <si>
    <t xml:space="preserve">Glace ou sorbet : 2 boules</t>
  </si>
  <si>
    <t xml:space="preserve">Parfums au choix.</t>
  </si>
  <si>
    <t xml:space="preserve">Glace ou sorbet : 3 boules</t>
  </si>
  <si>
    <t xml:space="preserve">Vins rouges</t>
  </si>
  <si>
    <t xml:space="preserve">Château de la Salade Saint-Henri, Cuvée 1803</t>
  </si>
  <si>
    <t xml:space="preserve">AOP Pic Saint-Loup.</t>
  </si>
  <si>
    <t xml:space="preserve">Saint-Nicolas-de-Bourgueil (75 cl)</t>
  </si>
  <si>
    <t xml:space="preserve">Saint-Nicolas-de-Bourgueil (37,5 cl)</t>
  </si>
  <si>
    <t xml:space="preserve">Château des Hospices Artemis</t>
  </si>
  <si>
    <t xml:space="preserve">AOP Côtes-du-Roussillon.</t>
  </si>
  <si>
    <t xml:space="preserve">Domaine Le Chapoutier Lubéron</t>
  </si>
  <si>
    <t xml:space="preserve">AOP Côtes-du-Rhône.</t>
  </si>
  <si>
    <t xml:space="preserve">Domaine La Croix-des-Marchands (75 cl)</t>
  </si>
  <si>
    <t xml:space="preserve">AOP Gaillac.</t>
  </si>
  <si>
    <t xml:space="preserve">Domaine La Croix-des-Marchands (37,5 cl)</t>
  </si>
  <si>
    <t xml:space="preserve">Pichet ¼ de rouge</t>
  </si>
  <si>
    <t xml:space="preserve">Pichet ½ de rouge</t>
  </si>
  <si>
    <t xml:space="preserve">Vin rouge au verre</t>
  </si>
  <si>
    <t xml:space="preserve">Vins rosés</t>
  </si>
  <si>
    <t xml:space="preserve">Château Ferry Lacombe (75 cl)</t>
  </si>
  <si>
    <t xml:space="preserve">Côtes-de-Provence.</t>
  </si>
  <si>
    <t xml:space="preserve">Château Ferry Lacombe (50 cl)</t>
  </si>
  <si>
    <t xml:space="preserve">Domaine San Pieru</t>
  </si>
  <si>
    <t xml:space="preserve">Corse.</t>
  </si>
  <si>
    <t xml:space="preserve">Vin rosé au verre</t>
  </si>
  <si>
    <t xml:space="preserve">Vins blancs</t>
  </si>
  <si>
    <t xml:space="preserve">Domaine La Croix-des-Marchands, blanc doux</t>
  </si>
  <si>
    <t xml:space="preserve">Domaine La Croix-des-Marchands</t>
  </si>
  <si>
    <t xml:space="preserve">Pichet ¼ de blanc</t>
  </si>
  <si>
    <t xml:space="preserve">Pichet ½ de blanc</t>
  </si>
  <si>
    <t xml:space="preserve">Vin blanc au verre</t>
  </si>
  <si>
    <t xml:space="preserve">Champagne</t>
  </si>
  <si>
    <t xml:space="preserve">Nicolas Feuillatte (coupe)</t>
  </si>
  <si>
    <t xml:space="preserve">Nicolas Feuillatte (75 cl)</t>
  </si>
  <si>
    <t xml:space="preserve">Apéritifs</t>
  </si>
  <si>
    <t xml:space="preserve">Cocktail du moment</t>
  </si>
  <si>
    <t xml:space="preserve">Cocktail sans alcool</t>
  </si>
  <si>
    <t xml:space="preserve">Martini blanc / rouge (4 cl)</t>
  </si>
  <si>
    <t xml:space="preserve">Whisky Jack Daniel's (4 cl)</t>
  </si>
  <si>
    <t xml:space="preserve">Whisky Coca (Jack Daniel's)</t>
  </si>
  <si>
    <t xml:space="preserve">Whisky Coca (Ballantine's, Clan Campbell)</t>
  </si>
  <si>
    <t xml:space="preserve">Rhum Coca</t>
  </si>
  <si>
    <t xml:space="preserve">Vodka (4 cl)</t>
  </si>
  <si>
    <t xml:space="preserve">Vodka Red Bull</t>
  </si>
  <si>
    <t xml:space="preserve">Kir royal (10 cl)</t>
  </si>
  <si>
    <t xml:space="preserve">Kir (pêche, cassis)</t>
  </si>
  <si>
    <t xml:space="preserve">Muscat</t>
  </si>
  <si>
    <t xml:space="preserve">Porto rouge</t>
  </si>
  <si>
    <t xml:space="preserve">Ricard / Pastis</t>
  </si>
  <si>
    <t xml:space="preserve">Liqueur de litchi</t>
  </si>
  <si>
    <t xml:space="preserve">Gin (Bombay)</t>
  </si>
  <si>
    <t xml:space="preserve">Digestifs</t>
  </si>
  <si>
    <t xml:space="preserve">Armagnac</t>
  </si>
  <si>
    <t xml:space="preserve">Cognac</t>
  </si>
  <si>
    <t xml:space="preserve">Diplomatico</t>
  </si>
  <si>
    <t xml:space="preserve">Jägermeister</t>
  </si>
  <si>
    <t xml:space="preserve">Get 27</t>
  </si>
  <si>
    <t xml:space="preserve">Rhum blanc</t>
  </si>
  <si>
    <t xml:space="preserve">Manzana</t>
  </si>
  <si>
    <t xml:space="preserve">Bières pression</t>
  </si>
  <si>
    <t xml:space="preserve">Leffe Blonde (25 cl)</t>
  </si>
  <si>
    <t xml:space="preserve">Leffe Blonde (33 cl)</t>
  </si>
  <si>
    <t xml:space="preserve">Leffe Blonde (50 cl)</t>
  </si>
  <si>
    <t xml:space="preserve">Bud Blonde (25 cl)</t>
  </si>
  <si>
    <t xml:space="preserve">Bud Blonde (33 cl)</t>
  </si>
  <si>
    <t xml:space="preserve">Bud Blonde (50 cl)</t>
  </si>
  <si>
    <t xml:space="preserve">Boissons sans alcool</t>
  </si>
  <si>
    <t xml:space="preserve">Coca Cola</t>
  </si>
  <si>
    <t xml:space="preserve">Coca Cola Zéro</t>
  </si>
  <si>
    <t xml:space="preserve">Orangina</t>
  </si>
  <si>
    <t xml:space="preserve">Lipton Ice Tea</t>
  </si>
  <si>
    <t xml:space="preserve">Jus de fruits</t>
  </si>
  <si>
    <t xml:space="preserve">Orange, pomme ou ananas.</t>
  </si>
  <si>
    <t xml:space="preserve">Sirop</t>
  </si>
  <si>
    <t xml:space="preserve">Grenadine, menthe, pêche ou citron.</t>
  </si>
  <si>
    <t xml:space="preserve">Eau Évian / Badoit (50 cl)</t>
  </si>
  <si>
    <t xml:space="preserve">Eau Évian / Badoit (1 L)</t>
  </si>
  <si>
    <t xml:space="preserve">Café</t>
  </si>
  <si>
    <t xml:space="preserve">Thé</t>
  </si>
  <si>
    <t xml:space="preserve">Résumé par catégorie</t>
  </si>
  <si>
    <t xml:space="preserve">Calculé à partir de l'onglet Carte : un prix modifié là-bas met ce tableau à jour. Les lignes « Sur demande » sont comptées, mais pas dans les prix.</t>
  </si>
  <si>
    <t xml:space="preserve">Nombre de lignes</t>
  </si>
  <si>
    <t xml:space="preserve">Prix mini (€)</t>
  </si>
  <si>
    <t xml:space="preserve">Prix maxi (€)</t>
  </si>
  <si>
    <t xml:space="preserve">Prix moyen (€)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</si>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</sst>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AC442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AC4429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AC442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AC442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auCarte" displayName="TableauCarte" ref="A4:D122" headerRowCount="1" totalsRowCount="0" totalsRowShown="0">
  <autoFilter ref="A4:D122"/>
  <tableColumns count="4">
    <tableColumn id="1" name="Catégorie"/>
    <tableColumn id="2" name="Plat"/>
    <tableColumn id="3" name="Précision"/>
    <tableColumn id="4" name="Prix (€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52"/>
    <col collapsed="false" customWidth="true" hidden="false" outlineLevel="0" max="4" min="4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s">
        <v>8</v>
      </c>
      <c r="D5" s="6" t="n">
        <v>16.9</v>
      </c>
    </row>
    <row r="6" customFormat="false" ht="15" hidden="false" customHeight="false" outlineLevel="0" collapsed="false">
      <c r="A6" s="4" t="s">
        <v>6</v>
      </c>
      <c r="B6" s="4" t="s">
        <v>9</v>
      </c>
      <c r="C6" s="5" t="s">
        <v>8</v>
      </c>
      <c r="D6" s="6" t="n">
        <v>14.9</v>
      </c>
    </row>
    <row r="7" customFormat="false" ht="15" hidden="false" customHeight="false" outlineLevel="0" collapsed="false">
      <c r="A7" s="4" t="s">
        <v>6</v>
      </c>
      <c r="B7" s="4" t="s">
        <v>10</v>
      </c>
      <c r="C7" s="5" t="s">
        <v>11</v>
      </c>
      <c r="D7" s="6" t="n">
        <v>9.9</v>
      </c>
    </row>
    <row r="8" customFormat="false" ht="15" hidden="false" customHeight="false" outlineLevel="0" collapsed="false">
      <c r="A8" s="4" t="s">
        <v>6</v>
      </c>
      <c r="B8" s="4" t="s">
        <v>12</v>
      </c>
      <c r="C8" s="5" t="s">
        <v>13</v>
      </c>
      <c r="D8" s="6" t="n">
        <v>9.9</v>
      </c>
    </row>
    <row r="9" customFormat="false" ht="15" hidden="false" customHeight="false" outlineLevel="0" collapsed="false">
      <c r="A9" s="4" t="s">
        <v>14</v>
      </c>
      <c r="B9" s="4" t="s">
        <v>15</v>
      </c>
      <c r="C9" s="5" t="s">
        <v>16</v>
      </c>
      <c r="D9" s="6" t="n">
        <v>9</v>
      </c>
    </row>
    <row r="10" customFormat="false" ht="15" hidden="false" customHeight="false" outlineLevel="0" collapsed="false">
      <c r="A10" s="4" t="s">
        <v>14</v>
      </c>
      <c r="B10" s="4" t="s">
        <v>17</v>
      </c>
      <c r="C10" s="5"/>
      <c r="D10" s="6" t="n">
        <v>7</v>
      </c>
    </row>
    <row r="11" customFormat="false" ht="15" hidden="false" customHeight="false" outlineLevel="0" collapsed="false">
      <c r="A11" s="4" t="s">
        <v>14</v>
      </c>
      <c r="B11" s="4" t="s">
        <v>18</v>
      </c>
      <c r="C11" s="5" t="s">
        <v>19</v>
      </c>
      <c r="D11" s="6" t="n">
        <v>6</v>
      </c>
    </row>
    <row r="12" customFormat="false" ht="15" hidden="false" customHeight="false" outlineLevel="0" collapsed="false">
      <c r="A12" s="4" t="s">
        <v>14</v>
      </c>
      <c r="B12" s="4" t="s">
        <v>20</v>
      </c>
      <c r="C12" s="5" t="s">
        <v>21</v>
      </c>
      <c r="D12" s="6" t="n">
        <v>9</v>
      </c>
    </row>
    <row r="13" customFormat="false" ht="15" hidden="false" customHeight="false" outlineLevel="0" collapsed="false">
      <c r="A13" s="4" t="s">
        <v>14</v>
      </c>
      <c r="B13" s="4" t="s">
        <v>22</v>
      </c>
      <c r="C13" s="5"/>
      <c r="D13" s="6" t="n">
        <v>17</v>
      </c>
    </row>
    <row r="14" customFormat="false" ht="15" hidden="false" customHeight="false" outlineLevel="0" collapsed="false">
      <c r="A14" s="4" t="s">
        <v>14</v>
      </c>
      <c r="B14" s="4" t="s">
        <v>23</v>
      </c>
      <c r="C14" s="5"/>
      <c r="D14" s="6" t="n">
        <v>7</v>
      </c>
    </row>
    <row r="15" customFormat="false" ht="15" hidden="false" customHeight="false" outlineLevel="0" collapsed="false">
      <c r="A15" s="4" t="s">
        <v>14</v>
      </c>
      <c r="B15" s="4" t="s">
        <v>24</v>
      </c>
      <c r="C15" s="5"/>
      <c r="D15" s="6" t="n">
        <v>13</v>
      </c>
    </row>
    <row r="16" customFormat="false" ht="15" hidden="false" customHeight="false" outlineLevel="0" collapsed="false">
      <c r="A16" s="4" t="s">
        <v>14</v>
      </c>
      <c r="B16" s="4" t="s">
        <v>25</v>
      </c>
      <c r="C16" s="5"/>
      <c r="D16" s="6" t="n">
        <v>5</v>
      </c>
    </row>
    <row r="17" customFormat="false" ht="15" hidden="false" customHeight="false" outlineLevel="0" collapsed="false">
      <c r="A17" s="4" t="s">
        <v>14</v>
      </c>
      <c r="B17" s="4" t="s">
        <v>26</v>
      </c>
      <c r="C17" s="5" t="s">
        <v>27</v>
      </c>
      <c r="D17" s="6" t="n">
        <v>5</v>
      </c>
    </row>
    <row r="18" customFormat="false" ht="15" hidden="false" customHeight="false" outlineLevel="0" collapsed="false">
      <c r="A18" s="4" t="s">
        <v>14</v>
      </c>
      <c r="B18" s="4" t="s">
        <v>28</v>
      </c>
      <c r="C18" s="5"/>
      <c r="D18" s="6" t="n">
        <v>7</v>
      </c>
    </row>
    <row r="19" customFormat="false" ht="15" hidden="false" customHeight="false" outlineLevel="0" collapsed="false">
      <c r="A19" s="4" t="s">
        <v>29</v>
      </c>
      <c r="B19" s="4" t="s">
        <v>30</v>
      </c>
      <c r="C19" s="5"/>
      <c r="D19" s="6" t="n">
        <v>7</v>
      </c>
    </row>
    <row r="20" customFormat="false" ht="15" hidden="false" customHeight="false" outlineLevel="0" collapsed="false">
      <c r="A20" s="4" t="s">
        <v>29</v>
      </c>
      <c r="B20" s="4" t="s">
        <v>31</v>
      </c>
      <c r="C20" s="5"/>
      <c r="D20" s="6" t="n">
        <v>8</v>
      </c>
    </row>
    <row r="21" customFormat="false" ht="15" hidden="false" customHeight="false" outlineLevel="0" collapsed="false">
      <c r="A21" s="4" t="s">
        <v>29</v>
      </c>
      <c r="B21" s="4" t="s">
        <v>32</v>
      </c>
      <c r="C21" s="5"/>
      <c r="D21" s="6" t="n">
        <v>11</v>
      </c>
    </row>
    <row r="22" customFormat="false" ht="15" hidden="false" customHeight="false" outlineLevel="0" collapsed="false">
      <c r="A22" s="4" t="s">
        <v>33</v>
      </c>
      <c r="B22" s="4" t="s">
        <v>34</v>
      </c>
      <c r="C22" s="5" t="s">
        <v>35</v>
      </c>
      <c r="D22" s="6" t="n">
        <v>16</v>
      </c>
    </row>
    <row r="23" customFormat="false" ht="15" hidden="false" customHeight="false" outlineLevel="0" collapsed="false">
      <c r="A23" s="4" t="s">
        <v>33</v>
      </c>
      <c r="B23" s="4" t="s">
        <v>36</v>
      </c>
      <c r="C23" s="5" t="s">
        <v>37</v>
      </c>
      <c r="D23" s="6" t="n">
        <v>16</v>
      </c>
    </row>
    <row r="24" customFormat="false" ht="15" hidden="false" customHeight="false" outlineLevel="0" collapsed="false">
      <c r="A24" s="4" t="s">
        <v>33</v>
      </c>
      <c r="B24" s="4" t="s">
        <v>38</v>
      </c>
      <c r="C24" s="5" t="s">
        <v>39</v>
      </c>
      <c r="D24" s="6" t="n">
        <v>14.5</v>
      </c>
    </row>
    <row r="25" customFormat="false" ht="15" hidden="false" customHeight="false" outlineLevel="0" collapsed="false">
      <c r="A25" s="4" t="s">
        <v>40</v>
      </c>
      <c r="B25" s="4" t="s">
        <v>41</v>
      </c>
      <c r="C25" s="5" t="s">
        <v>42</v>
      </c>
      <c r="D25" s="6" t="n">
        <v>25.5</v>
      </c>
    </row>
    <row r="26" customFormat="false" ht="15" hidden="false" customHeight="false" outlineLevel="0" collapsed="false">
      <c r="A26" s="4" t="s">
        <v>40</v>
      </c>
      <c r="B26" s="4" t="s">
        <v>43</v>
      </c>
      <c r="C26" s="5" t="s">
        <v>42</v>
      </c>
      <c r="D26" s="6" t="n">
        <v>23</v>
      </c>
    </row>
    <row r="27" customFormat="false" ht="15" hidden="false" customHeight="false" outlineLevel="0" collapsed="false">
      <c r="A27" s="4" t="s">
        <v>40</v>
      </c>
      <c r="B27" s="4" t="s">
        <v>44</v>
      </c>
      <c r="C27" s="5" t="s">
        <v>42</v>
      </c>
      <c r="D27" s="6" t="n">
        <v>17</v>
      </c>
    </row>
    <row r="28" customFormat="false" ht="15" hidden="false" customHeight="false" outlineLevel="0" collapsed="false">
      <c r="A28" s="4" t="s">
        <v>40</v>
      </c>
      <c r="B28" s="4" t="s">
        <v>45</v>
      </c>
      <c r="C28" s="5" t="s">
        <v>42</v>
      </c>
      <c r="D28" s="6" t="n">
        <v>19.9</v>
      </c>
    </row>
    <row r="29" customFormat="false" ht="15" hidden="false" customHeight="false" outlineLevel="0" collapsed="false">
      <c r="A29" s="4" t="s">
        <v>40</v>
      </c>
      <c r="B29" s="4" t="s">
        <v>46</v>
      </c>
      <c r="C29" s="5" t="s">
        <v>42</v>
      </c>
      <c r="D29" s="6" t="n">
        <v>19</v>
      </c>
    </row>
    <row r="30" customFormat="false" ht="15" hidden="false" customHeight="false" outlineLevel="0" collapsed="false">
      <c r="A30" s="4" t="s">
        <v>40</v>
      </c>
      <c r="B30" s="4" t="s">
        <v>47</v>
      </c>
      <c r="C30" s="5" t="s">
        <v>42</v>
      </c>
      <c r="D30" s="6" t="n">
        <v>21</v>
      </c>
    </row>
    <row r="31" customFormat="false" ht="15" hidden="false" customHeight="false" outlineLevel="0" collapsed="false">
      <c r="A31" s="4" t="s">
        <v>40</v>
      </c>
      <c r="B31" s="4" t="s">
        <v>48</v>
      </c>
      <c r="C31" s="5" t="s">
        <v>42</v>
      </c>
      <c r="D31" s="6" t="n">
        <v>24.5</v>
      </c>
    </row>
    <row r="32" customFormat="false" ht="15" hidden="false" customHeight="false" outlineLevel="0" collapsed="false">
      <c r="A32" s="4" t="s">
        <v>49</v>
      </c>
      <c r="B32" s="4" t="s">
        <v>50</v>
      </c>
      <c r="C32" s="5"/>
      <c r="D32" s="6" t="n">
        <v>22.5</v>
      </c>
    </row>
    <row r="33" customFormat="false" ht="15" hidden="false" customHeight="false" outlineLevel="0" collapsed="false">
      <c r="A33" s="4" t="s">
        <v>49</v>
      </c>
      <c r="B33" s="4" t="s">
        <v>51</v>
      </c>
      <c r="C33" s="5"/>
      <c r="D33" s="6" t="n">
        <v>25.5</v>
      </c>
    </row>
    <row r="34" customFormat="false" ht="15" hidden="false" customHeight="false" outlineLevel="0" collapsed="false">
      <c r="A34" s="4" t="s">
        <v>49</v>
      </c>
      <c r="B34" s="4" t="s">
        <v>52</v>
      </c>
      <c r="C34" s="5"/>
      <c r="D34" s="6" t="n">
        <v>17</v>
      </c>
    </row>
    <row r="35" customFormat="false" ht="15" hidden="false" customHeight="false" outlineLevel="0" collapsed="false">
      <c r="A35" s="4" t="s">
        <v>49</v>
      </c>
      <c r="B35" s="4" t="s">
        <v>53</v>
      </c>
      <c r="C35" s="5"/>
      <c r="D35" s="6" t="n">
        <v>17</v>
      </c>
    </row>
    <row r="36" customFormat="false" ht="15" hidden="false" customHeight="false" outlineLevel="0" collapsed="false">
      <c r="A36" s="4" t="s">
        <v>49</v>
      </c>
      <c r="B36" s="4" t="s">
        <v>54</v>
      </c>
      <c r="C36" s="5"/>
      <c r="D36" s="6" t="n">
        <v>18</v>
      </c>
    </row>
    <row r="37" customFormat="false" ht="15" hidden="false" customHeight="false" outlineLevel="0" collapsed="false">
      <c r="A37" s="4" t="s">
        <v>49</v>
      </c>
      <c r="B37" s="4" t="s">
        <v>55</v>
      </c>
      <c r="C37" s="5" t="s">
        <v>56</v>
      </c>
      <c r="D37" s="6" t="n">
        <v>19</v>
      </c>
    </row>
    <row r="38" customFormat="false" ht="15" hidden="false" customHeight="false" outlineLevel="0" collapsed="false">
      <c r="A38" s="4" t="s">
        <v>49</v>
      </c>
      <c r="B38" s="4" t="s">
        <v>57</v>
      </c>
      <c r="C38" s="5"/>
      <c r="D38" s="6" t="n">
        <v>17</v>
      </c>
    </row>
    <row r="39" customFormat="false" ht="15" hidden="false" customHeight="false" outlineLevel="0" collapsed="false">
      <c r="A39" s="4" t="s">
        <v>49</v>
      </c>
      <c r="B39" s="4" t="s">
        <v>58</v>
      </c>
      <c r="C39" s="5" t="s">
        <v>59</v>
      </c>
      <c r="D39" s="6" t="n">
        <v>19</v>
      </c>
    </row>
    <row r="40" customFormat="false" ht="15" hidden="false" customHeight="false" outlineLevel="0" collapsed="false">
      <c r="A40" s="4" t="s">
        <v>49</v>
      </c>
      <c r="B40" s="4" t="s">
        <v>60</v>
      </c>
      <c r="C40" s="5"/>
      <c r="D40" s="6" t="n">
        <v>19</v>
      </c>
    </row>
    <row r="41" customFormat="false" ht="15" hidden="false" customHeight="false" outlineLevel="0" collapsed="false">
      <c r="A41" s="4" t="s">
        <v>49</v>
      </c>
      <c r="B41" s="4" t="s">
        <v>61</v>
      </c>
      <c r="C41" s="5"/>
      <c r="D41" s="6" t="n">
        <v>17</v>
      </c>
    </row>
    <row r="42" customFormat="false" ht="15" hidden="false" customHeight="false" outlineLevel="0" collapsed="false">
      <c r="A42" s="4" t="s">
        <v>49</v>
      </c>
      <c r="B42" s="4" t="s">
        <v>62</v>
      </c>
      <c r="C42" s="5" t="s">
        <v>63</v>
      </c>
      <c r="D42" s="7" t="s">
        <v>64</v>
      </c>
    </row>
    <row r="43" customFormat="false" ht="15" hidden="false" customHeight="false" outlineLevel="0" collapsed="false">
      <c r="A43" s="4" t="s">
        <v>65</v>
      </c>
      <c r="B43" s="4" t="s">
        <v>66</v>
      </c>
      <c r="C43" s="5"/>
      <c r="D43" s="6" t="n">
        <v>15</v>
      </c>
    </row>
    <row r="44" customFormat="false" ht="15" hidden="false" customHeight="false" outlineLevel="0" collapsed="false">
      <c r="A44" s="4" t="s">
        <v>65</v>
      </c>
      <c r="B44" s="4" t="s">
        <v>67</v>
      </c>
      <c r="C44" s="5"/>
      <c r="D44" s="6" t="n">
        <v>17</v>
      </c>
    </row>
    <row r="45" customFormat="false" ht="15" hidden="false" customHeight="false" outlineLevel="0" collapsed="false">
      <c r="A45" s="4" t="s">
        <v>65</v>
      </c>
      <c r="B45" s="4" t="s">
        <v>68</v>
      </c>
      <c r="C45" s="5"/>
      <c r="D45" s="6" t="n">
        <v>14</v>
      </c>
    </row>
    <row r="46" customFormat="false" ht="15" hidden="false" customHeight="false" outlineLevel="0" collapsed="false">
      <c r="A46" s="4" t="s">
        <v>69</v>
      </c>
      <c r="B46" s="4" t="s">
        <v>70</v>
      </c>
      <c r="C46" s="5"/>
      <c r="D46" s="6" t="n">
        <v>13</v>
      </c>
    </row>
    <row r="47" customFormat="false" ht="15" hidden="false" customHeight="false" outlineLevel="0" collapsed="false">
      <c r="A47" s="4" t="s">
        <v>69</v>
      </c>
      <c r="B47" s="4" t="s">
        <v>71</v>
      </c>
      <c r="C47" s="5"/>
      <c r="D47" s="6" t="n">
        <v>9</v>
      </c>
    </row>
    <row r="48" customFormat="false" ht="15" hidden="false" customHeight="false" outlineLevel="0" collapsed="false">
      <c r="A48" s="4" t="s">
        <v>69</v>
      </c>
      <c r="B48" s="4" t="s">
        <v>72</v>
      </c>
      <c r="C48" s="5"/>
      <c r="D48" s="6" t="n">
        <v>9</v>
      </c>
    </row>
    <row r="49" customFormat="false" ht="15" hidden="false" customHeight="false" outlineLevel="0" collapsed="false">
      <c r="A49" s="4" t="s">
        <v>69</v>
      </c>
      <c r="B49" s="4" t="s">
        <v>73</v>
      </c>
      <c r="C49" s="5"/>
      <c r="D49" s="6" t="n">
        <v>6</v>
      </c>
    </row>
    <row r="50" customFormat="false" ht="15" hidden="false" customHeight="false" outlineLevel="0" collapsed="false">
      <c r="A50" s="4" t="s">
        <v>69</v>
      </c>
      <c r="B50" s="4" t="s">
        <v>74</v>
      </c>
      <c r="C50" s="5"/>
      <c r="D50" s="6" t="n">
        <v>7</v>
      </c>
    </row>
    <row r="51" customFormat="false" ht="15" hidden="false" customHeight="false" outlineLevel="0" collapsed="false">
      <c r="A51" s="4" t="s">
        <v>69</v>
      </c>
      <c r="B51" s="4" t="s">
        <v>75</v>
      </c>
      <c r="C51" s="5"/>
      <c r="D51" s="6" t="n">
        <v>7</v>
      </c>
    </row>
    <row r="52" customFormat="false" ht="15" hidden="false" customHeight="false" outlineLevel="0" collapsed="false">
      <c r="A52" s="4" t="s">
        <v>69</v>
      </c>
      <c r="B52" s="4" t="s">
        <v>76</v>
      </c>
      <c r="C52" s="5"/>
      <c r="D52" s="6" t="n">
        <v>9</v>
      </c>
    </row>
    <row r="53" customFormat="false" ht="15" hidden="false" customHeight="false" outlineLevel="0" collapsed="false">
      <c r="A53" s="4" t="s">
        <v>69</v>
      </c>
      <c r="B53" s="4" t="s">
        <v>77</v>
      </c>
      <c r="C53" s="5"/>
      <c r="D53" s="6" t="n">
        <v>6</v>
      </c>
    </row>
    <row r="54" customFormat="false" ht="15" hidden="false" customHeight="false" outlineLevel="0" collapsed="false">
      <c r="A54" s="4" t="s">
        <v>69</v>
      </c>
      <c r="B54" s="4" t="s">
        <v>78</v>
      </c>
      <c r="C54" s="5"/>
      <c r="D54" s="6" t="n">
        <v>7</v>
      </c>
    </row>
    <row r="55" customFormat="false" ht="15" hidden="false" customHeight="false" outlineLevel="0" collapsed="false">
      <c r="A55" s="4" t="s">
        <v>69</v>
      </c>
      <c r="B55" s="4" t="s">
        <v>79</v>
      </c>
      <c r="C55" s="5"/>
      <c r="D55" s="6" t="n">
        <v>8.5</v>
      </c>
    </row>
    <row r="56" customFormat="false" ht="15" hidden="false" customHeight="false" outlineLevel="0" collapsed="false">
      <c r="A56" s="4" t="s">
        <v>80</v>
      </c>
      <c r="B56" s="4" t="s">
        <v>81</v>
      </c>
      <c r="C56" s="5"/>
      <c r="D56" s="6" t="n">
        <v>7</v>
      </c>
    </row>
    <row r="57" customFormat="false" ht="15" hidden="false" customHeight="false" outlineLevel="0" collapsed="false">
      <c r="A57" s="4" t="s">
        <v>80</v>
      </c>
      <c r="B57" s="4" t="s">
        <v>82</v>
      </c>
      <c r="C57" s="5"/>
      <c r="D57" s="6" t="n">
        <v>7</v>
      </c>
    </row>
    <row r="58" customFormat="false" ht="15" hidden="false" customHeight="false" outlineLevel="0" collapsed="false">
      <c r="A58" s="4" t="s">
        <v>80</v>
      </c>
      <c r="B58" s="4" t="s">
        <v>83</v>
      </c>
      <c r="C58" s="5"/>
      <c r="D58" s="6" t="n">
        <v>7</v>
      </c>
    </row>
    <row r="59" customFormat="false" ht="15" hidden="false" customHeight="false" outlineLevel="0" collapsed="false">
      <c r="A59" s="4" t="s">
        <v>80</v>
      </c>
      <c r="B59" s="4" t="s">
        <v>84</v>
      </c>
      <c r="C59" s="5"/>
      <c r="D59" s="6" t="n">
        <v>8</v>
      </c>
    </row>
    <row r="60" customFormat="false" ht="15" hidden="false" customHeight="false" outlineLevel="0" collapsed="false">
      <c r="A60" s="4" t="s">
        <v>80</v>
      </c>
      <c r="B60" s="4" t="s">
        <v>85</v>
      </c>
      <c r="C60" s="5" t="s">
        <v>86</v>
      </c>
      <c r="D60" s="6" t="n">
        <v>2.9</v>
      </c>
    </row>
    <row r="61" customFormat="false" ht="15" hidden="false" customHeight="false" outlineLevel="0" collapsed="false">
      <c r="A61" s="4" t="s">
        <v>80</v>
      </c>
      <c r="B61" s="4" t="s">
        <v>87</v>
      </c>
      <c r="C61" s="5" t="s">
        <v>88</v>
      </c>
      <c r="D61" s="6" t="n">
        <v>3.9</v>
      </c>
    </row>
    <row r="62" customFormat="false" ht="15" hidden="false" customHeight="false" outlineLevel="0" collapsed="false">
      <c r="A62" s="4" t="s">
        <v>80</v>
      </c>
      <c r="B62" s="4" t="s">
        <v>89</v>
      </c>
      <c r="C62" s="5" t="s">
        <v>88</v>
      </c>
      <c r="D62" s="6" t="n">
        <v>5.9</v>
      </c>
    </row>
    <row r="63" customFormat="false" ht="15" hidden="false" customHeight="false" outlineLevel="0" collapsed="false">
      <c r="A63" s="4" t="s">
        <v>90</v>
      </c>
      <c r="B63" s="4" t="s">
        <v>91</v>
      </c>
      <c r="C63" s="5" t="s">
        <v>92</v>
      </c>
      <c r="D63" s="6" t="n">
        <v>32</v>
      </c>
    </row>
    <row r="64" customFormat="false" ht="15" hidden="false" customHeight="false" outlineLevel="0" collapsed="false">
      <c r="A64" s="4" t="s">
        <v>90</v>
      </c>
      <c r="B64" s="4" t="s">
        <v>93</v>
      </c>
      <c r="C64" s="5"/>
      <c r="D64" s="6" t="n">
        <v>24</v>
      </c>
    </row>
    <row r="65" customFormat="false" ht="15" hidden="false" customHeight="false" outlineLevel="0" collapsed="false">
      <c r="A65" s="4" t="s">
        <v>90</v>
      </c>
      <c r="B65" s="4" t="s">
        <v>94</v>
      </c>
      <c r="C65" s="5"/>
      <c r="D65" s="6" t="n">
        <v>13</v>
      </c>
    </row>
    <row r="66" customFormat="false" ht="15" hidden="false" customHeight="false" outlineLevel="0" collapsed="false">
      <c r="A66" s="4" t="s">
        <v>90</v>
      </c>
      <c r="B66" s="4" t="s">
        <v>95</v>
      </c>
      <c r="C66" s="5" t="s">
        <v>96</v>
      </c>
      <c r="D66" s="6" t="n">
        <v>22</v>
      </c>
    </row>
    <row r="67" customFormat="false" ht="15" hidden="false" customHeight="false" outlineLevel="0" collapsed="false">
      <c r="A67" s="4" t="s">
        <v>90</v>
      </c>
      <c r="B67" s="4" t="s">
        <v>97</v>
      </c>
      <c r="C67" s="5" t="s">
        <v>98</v>
      </c>
      <c r="D67" s="6" t="n">
        <v>19</v>
      </c>
    </row>
    <row r="68" customFormat="false" ht="15" hidden="false" customHeight="false" outlineLevel="0" collapsed="false">
      <c r="A68" s="4" t="s">
        <v>90</v>
      </c>
      <c r="B68" s="4" t="s">
        <v>99</v>
      </c>
      <c r="C68" s="5" t="s">
        <v>100</v>
      </c>
      <c r="D68" s="6" t="n">
        <v>18</v>
      </c>
    </row>
    <row r="69" customFormat="false" ht="15" hidden="false" customHeight="false" outlineLevel="0" collapsed="false">
      <c r="A69" s="4" t="s">
        <v>90</v>
      </c>
      <c r="B69" s="4" t="s">
        <v>101</v>
      </c>
      <c r="C69" s="5" t="s">
        <v>100</v>
      </c>
      <c r="D69" s="6" t="n">
        <v>13</v>
      </c>
    </row>
    <row r="70" customFormat="false" ht="15" hidden="false" customHeight="false" outlineLevel="0" collapsed="false">
      <c r="A70" s="4" t="s">
        <v>90</v>
      </c>
      <c r="B70" s="4" t="s">
        <v>102</v>
      </c>
      <c r="C70" s="5"/>
      <c r="D70" s="6" t="n">
        <v>6</v>
      </c>
    </row>
    <row r="71" customFormat="false" ht="15" hidden="false" customHeight="false" outlineLevel="0" collapsed="false">
      <c r="A71" s="4" t="s">
        <v>90</v>
      </c>
      <c r="B71" s="4" t="s">
        <v>103</v>
      </c>
      <c r="C71" s="5"/>
      <c r="D71" s="6" t="n">
        <v>8</v>
      </c>
    </row>
    <row r="72" customFormat="false" ht="15" hidden="false" customHeight="false" outlineLevel="0" collapsed="false">
      <c r="A72" s="4" t="s">
        <v>90</v>
      </c>
      <c r="B72" s="4" t="s">
        <v>104</v>
      </c>
      <c r="C72" s="5"/>
      <c r="D72" s="6" t="n">
        <v>4.5</v>
      </c>
    </row>
    <row r="73" customFormat="false" ht="15" hidden="false" customHeight="false" outlineLevel="0" collapsed="false">
      <c r="A73" s="4" t="s">
        <v>105</v>
      </c>
      <c r="B73" s="4" t="s">
        <v>106</v>
      </c>
      <c r="C73" s="5" t="s">
        <v>107</v>
      </c>
      <c r="D73" s="6" t="n">
        <v>23</v>
      </c>
    </row>
    <row r="74" customFormat="false" ht="15" hidden="false" customHeight="false" outlineLevel="0" collapsed="false">
      <c r="A74" s="4" t="s">
        <v>105</v>
      </c>
      <c r="B74" s="4" t="s">
        <v>108</v>
      </c>
      <c r="C74" s="5" t="s">
        <v>107</v>
      </c>
      <c r="D74" s="6" t="n">
        <v>14</v>
      </c>
    </row>
    <row r="75" customFormat="false" ht="15" hidden="false" customHeight="false" outlineLevel="0" collapsed="false">
      <c r="A75" s="4" t="s">
        <v>105</v>
      </c>
      <c r="B75" s="4" t="s">
        <v>109</v>
      </c>
      <c r="C75" s="5" t="s">
        <v>110</v>
      </c>
      <c r="D75" s="6" t="n">
        <v>19</v>
      </c>
    </row>
    <row r="76" customFormat="false" ht="15" hidden="false" customHeight="false" outlineLevel="0" collapsed="false">
      <c r="A76" s="4" t="s">
        <v>105</v>
      </c>
      <c r="B76" s="4" t="s">
        <v>111</v>
      </c>
      <c r="C76" s="5"/>
      <c r="D76" s="6" t="n">
        <v>4.5</v>
      </c>
    </row>
    <row r="77" customFormat="false" ht="15" hidden="false" customHeight="false" outlineLevel="0" collapsed="false">
      <c r="A77" s="4" t="s">
        <v>112</v>
      </c>
      <c r="B77" s="4" t="s">
        <v>113</v>
      </c>
      <c r="C77" s="5" t="s">
        <v>100</v>
      </c>
      <c r="D77" s="6" t="n">
        <v>18</v>
      </c>
    </row>
    <row r="78" customFormat="false" ht="15" hidden="false" customHeight="false" outlineLevel="0" collapsed="false">
      <c r="A78" s="4" t="s">
        <v>112</v>
      </c>
      <c r="B78" s="4" t="s">
        <v>114</v>
      </c>
      <c r="C78" s="5" t="s">
        <v>100</v>
      </c>
      <c r="D78" s="6" t="n">
        <v>19</v>
      </c>
    </row>
    <row r="79" customFormat="false" ht="15" hidden="false" customHeight="false" outlineLevel="0" collapsed="false">
      <c r="A79" s="4" t="s">
        <v>112</v>
      </c>
      <c r="B79" s="4" t="s">
        <v>115</v>
      </c>
      <c r="C79" s="5"/>
      <c r="D79" s="6" t="n">
        <v>6</v>
      </c>
    </row>
    <row r="80" customFormat="false" ht="15" hidden="false" customHeight="false" outlineLevel="0" collapsed="false">
      <c r="A80" s="4" t="s">
        <v>112</v>
      </c>
      <c r="B80" s="4" t="s">
        <v>116</v>
      </c>
      <c r="C80" s="5"/>
      <c r="D80" s="6" t="n">
        <v>8</v>
      </c>
    </row>
    <row r="81" customFormat="false" ht="15" hidden="false" customHeight="false" outlineLevel="0" collapsed="false">
      <c r="A81" s="4" t="s">
        <v>112</v>
      </c>
      <c r="B81" s="4" t="s">
        <v>117</v>
      </c>
      <c r="C81" s="5"/>
      <c r="D81" s="6" t="n">
        <v>4.5</v>
      </c>
    </row>
    <row r="82" customFormat="false" ht="15" hidden="false" customHeight="false" outlineLevel="0" collapsed="false">
      <c r="A82" s="4" t="s">
        <v>118</v>
      </c>
      <c r="B82" s="4" t="s">
        <v>119</v>
      </c>
      <c r="C82" s="5"/>
      <c r="D82" s="6" t="n">
        <v>6</v>
      </c>
    </row>
    <row r="83" customFormat="false" ht="15" hidden="false" customHeight="false" outlineLevel="0" collapsed="false">
      <c r="A83" s="4" t="s">
        <v>118</v>
      </c>
      <c r="B83" s="4" t="s">
        <v>120</v>
      </c>
      <c r="C83" s="5"/>
      <c r="D83" s="6" t="n">
        <v>45</v>
      </c>
    </row>
    <row r="84" customFormat="false" ht="15" hidden="false" customHeight="false" outlineLevel="0" collapsed="false">
      <c r="A84" s="4" t="s">
        <v>121</v>
      </c>
      <c r="B84" s="4" t="s">
        <v>122</v>
      </c>
      <c r="C84" s="5"/>
      <c r="D84" s="6" t="n">
        <v>7.5</v>
      </c>
    </row>
    <row r="85" customFormat="false" ht="15" hidden="false" customHeight="false" outlineLevel="0" collapsed="false">
      <c r="A85" s="4" t="s">
        <v>121</v>
      </c>
      <c r="B85" s="4" t="s">
        <v>123</v>
      </c>
      <c r="C85" s="5"/>
      <c r="D85" s="6" t="n">
        <v>5</v>
      </c>
    </row>
    <row r="86" customFormat="false" ht="15" hidden="false" customHeight="false" outlineLevel="0" collapsed="false">
      <c r="A86" s="4" t="s">
        <v>121</v>
      </c>
      <c r="B86" s="4" t="s">
        <v>124</v>
      </c>
      <c r="C86" s="5"/>
      <c r="D86" s="6" t="n">
        <v>5</v>
      </c>
    </row>
    <row r="87" customFormat="false" ht="15" hidden="false" customHeight="false" outlineLevel="0" collapsed="false">
      <c r="A87" s="4" t="s">
        <v>121</v>
      </c>
      <c r="B87" s="4" t="s">
        <v>125</v>
      </c>
      <c r="C87" s="5"/>
      <c r="D87" s="6" t="n">
        <v>6</v>
      </c>
    </row>
    <row r="88" customFormat="false" ht="15" hidden="false" customHeight="false" outlineLevel="0" collapsed="false">
      <c r="A88" s="4" t="s">
        <v>121</v>
      </c>
      <c r="B88" s="4" t="s">
        <v>126</v>
      </c>
      <c r="C88" s="5"/>
      <c r="D88" s="6" t="n">
        <v>7.5</v>
      </c>
    </row>
    <row r="89" customFormat="false" ht="15" hidden="false" customHeight="false" outlineLevel="0" collapsed="false">
      <c r="A89" s="4" t="s">
        <v>121</v>
      </c>
      <c r="B89" s="4" t="s">
        <v>127</v>
      </c>
      <c r="C89" s="5"/>
      <c r="D89" s="6" t="n">
        <v>5</v>
      </c>
    </row>
    <row r="90" customFormat="false" ht="15" hidden="false" customHeight="false" outlineLevel="0" collapsed="false">
      <c r="A90" s="4" t="s">
        <v>121</v>
      </c>
      <c r="B90" s="4" t="s">
        <v>128</v>
      </c>
      <c r="C90" s="5"/>
      <c r="D90" s="6" t="n">
        <v>7</v>
      </c>
    </row>
    <row r="91" customFormat="false" ht="15" hidden="false" customHeight="false" outlineLevel="0" collapsed="false">
      <c r="A91" s="4" t="s">
        <v>121</v>
      </c>
      <c r="B91" s="4" t="s">
        <v>129</v>
      </c>
      <c r="C91" s="5"/>
      <c r="D91" s="6" t="n">
        <v>5</v>
      </c>
    </row>
    <row r="92" customFormat="false" ht="15" hidden="false" customHeight="false" outlineLevel="0" collapsed="false">
      <c r="A92" s="4" t="s">
        <v>121</v>
      </c>
      <c r="B92" s="4" t="s">
        <v>130</v>
      </c>
      <c r="C92" s="5"/>
      <c r="D92" s="6" t="n">
        <v>8</v>
      </c>
    </row>
    <row r="93" customFormat="false" ht="15" hidden="false" customHeight="false" outlineLevel="0" collapsed="false">
      <c r="A93" s="4" t="s">
        <v>121</v>
      </c>
      <c r="B93" s="4" t="s">
        <v>131</v>
      </c>
      <c r="C93" s="5"/>
      <c r="D93" s="6" t="n">
        <v>8</v>
      </c>
    </row>
    <row r="94" customFormat="false" ht="15" hidden="false" customHeight="false" outlineLevel="0" collapsed="false">
      <c r="A94" s="4" t="s">
        <v>121</v>
      </c>
      <c r="B94" s="4" t="s">
        <v>132</v>
      </c>
      <c r="C94" s="5"/>
      <c r="D94" s="6" t="n">
        <v>4</v>
      </c>
    </row>
    <row r="95" customFormat="false" ht="15" hidden="false" customHeight="false" outlineLevel="0" collapsed="false">
      <c r="A95" s="4" t="s">
        <v>121</v>
      </c>
      <c r="B95" s="4" t="s">
        <v>133</v>
      </c>
      <c r="C95" s="5"/>
      <c r="D95" s="6" t="n">
        <v>4</v>
      </c>
    </row>
    <row r="96" customFormat="false" ht="15" hidden="false" customHeight="false" outlineLevel="0" collapsed="false">
      <c r="A96" s="4" t="s">
        <v>121</v>
      </c>
      <c r="B96" s="4" t="s">
        <v>134</v>
      </c>
      <c r="C96" s="5"/>
      <c r="D96" s="6" t="n">
        <v>4</v>
      </c>
    </row>
    <row r="97" customFormat="false" ht="15" hidden="false" customHeight="false" outlineLevel="0" collapsed="false">
      <c r="A97" s="4" t="s">
        <v>121</v>
      </c>
      <c r="B97" s="4" t="s">
        <v>135</v>
      </c>
      <c r="C97" s="5"/>
      <c r="D97" s="6" t="n">
        <v>4</v>
      </c>
    </row>
    <row r="98" customFormat="false" ht="15" hidden="false" customHeight="false" outlineLevel="0" collapsed="false">
      <c r="A98" s="4" t="s">
        <v>121</v>
      </c>
      <c r="B98" s="4" t="s">
        <v>136</v>
      </c>
      <c r="C98" s="5"/>
      <c r="D98" s="6" t="n">
        <v>5</v>
      </c>
    </row>
    <row r="99" customFormat="false" ht="15" hidden="false" customHeight="false" outlineLevel="0" collapsed="false">
      <c r="A99" s="4" t="s">
        <v>121</v>
      </c>
      <c r="B99" s="4" t="s">
        <v>137</v>
      </c>
      <c r="C99" s="5"/>
      <c r="D99" s="6" t="n">
        <v>6</v>
      </c>
    </row>
    <row r="100" customFormat="false" ht="15" hidden="false" customHeight="false" outlineLevel="0" collapsed="false">
      <c r="A100" s="4" t="s">
        <v>138</v>
      </c>
      <c r="B100" s="4" t="s">
        <v>139</v>
      </c>
      <c r="C100" s="5"/>
      <c r="D100" s="6" t="n">
        <v>7</v>
      </c>
    </row>
    <row r="101" customFormat="false" ht="15" hidden="false" customHeight="false" outlineLevel="0" collapsed="false">
      <c r="A101" s="4" t="s">
        <v>138</v>
      </c>
      <c r="B101" s="4" t="s">
        <v>140</v>
      </c>
      <c r="C101" s="5"/>
      <c r="D101" s="6" t="n">
        <v>7</v>
      </c>
    </row>
    <row r="102" customFormat="false" ht="15" hidden="false" customHeight="false" outlineLevel="0" collapsed="false">
      <c r="A102" s="4" t="s">
        <v>138</v>
      </c>
      <c r="B102" s="4" t="s">
        <v>141</v>
      </c>
      <c r="C102" s="5"/>
      <c r="D102" s="6" t="n">
        <v>6.5</v>
      </c>
    </row>
    <row r="103" customFormat="false" ht="15" hidden="false" customHeight="false" outlineLevel="0" collapsed="false">
      <c r="A103" s="4" t="s">
        <v>138</v>
      </c>
      <c r="B103" s="4" t="s">
        <v>142</v>
      </c>
      <c r="C103" s="5"/>
      <c r="D103" s="6" t="n">
        <v>6</v>
      </c>
    </row>
    <row r="104" customFormat="false" ht="15" hidden="false" customHeight="false" outlineLevel="0" collapsed="false">
      <c r="A104" s="4" t="s">
        <v>138</v>
      </c>
      <c r="B104" s="4" t="s">
        <v>143</v>
      </c>
      <c r="C104" s="5"/>
      <c r="D104" s="6" t="n">
        <v>5</v>
      </c>
    </row>
    <row r="105" customFormat="false" ht="15" hidden="false" customHeight="false" outlineLevel="0" collapsed="false">
      <c r="A105" s="4" t="s">
        <v>138</v>
      </c>
      <c r="B105" s="4" t="s">
        <v>144</v>
      </c>
      <c r="C105" s="5"/>
      <c r="D105" s="6" t="n">
        <v>6</v>
      </c>
    </row>
    <row r="106" customFormat="false" ht="15" hidden="false" customHeight="false" outlineLevel="0" collapsed="false">
      <c r="A106" s="4" t="s">
        <v>138</v>
      </c>
      <c r="B106" s="4" t="s">
        <v>145</v>
      </c>
      <c r="C106" s="5"/>
      <c r="D106" s="6" t="n">
        <v>5</v>
      </c>
    </row>
    <row r="107" customFormat="false" ht="15" hidden="false" customHeight="false" outlineLevel="0" collapsed="false">
      <c r="A107" s="4" t="s">
        <v>146</v>
      </c>
      <c r="B107" s="4" t="s">
        <v>147</v>
      </c>
      <c r="C107" s="5"/>
      <c r="D107" s="6" t="n">
        <v>4</v>
      </c>
    </row>
    <row r="108" customFormat="false" ht="15" hidden="false" customHeight="false" outlineLevel="0" collapsed="false">
      <c r="A108" s="4" t="s">
        <v>146</v>
      </c>
      <c r="B108" s="4" t="s">
        <v>148</v>
      </c>
      <c r="C108" s="5"/>
      <c r="D108" s="6" t="n">
        <v>5</v>
      </c>
    </row>
    <row r="109" customFormat="false" ht="15" hidden="false" customHeight="false" outlineLevel="0" collapsed="false">
      <c r="A109" s="4" t="s">
        <v>146</v>
      </c>
      <c r="B109" s="4" t="s">
        <v>149</v>
      </c>
      <c r="C109" s="5"/>
      <c r="D109" s="6" t="n">
        <v>7</v>
      </c>
    </row>
    <row r="110" customFormat="false" ht="15" hidden="false" customHeight="false" outlineLevel="0" collapsed="false">
      <c r="A110" s="4" t="s">
        <v>146</v>
      </c>
      <c r="B110" s="4" t="s">
        <v>150</v>
      </c>
      <c r="C110" s="5"/>
      <c r="D110" s="6" t="n">
        <v>4</v>
      </c>
    </row>
    <row r="111" customFormat="false" ht="15" hidden="false" customHeight="false" outlineLevel="0" collapsed="false">
      <c r="A111" s="4" t="s">
        <v>146</v>
      </c>
      <c r="B111" s="4" t="s">
        <v>151</v>
      </c>
      <c r="C111" s="5"/>
      <c r="D111" s="6" t="n">
        <v>5</v>
      </c>
    </row>
    <row r="112" customFormat="false" ht="15" hidden="false" customHeight="false" outlineLevel="0" collapsed="false">
      <c r="A112" s="4" t="s">
        <v>146</v>
      </c>
      <c r="B112" s="4" t="s">
        <v>152</v>
      </c>
      <c r="C112" s="5"/>
      <c r="D112" s="6" t="n">
        <v>7</v>
      </c>
    </row>
    <row r="113" customFormat="false" ht="15" hidden="false" customHeight="false" outlineLevel="0" collapsed="false">
      <c r="A113" s="4" t="s">
        <v>153</v>
      </c>
      <c r="B113" s="4" t="s">
        <v>154</v>
      </c>
      <c r="C113" s="5"/>
      <c r="D113" s="6" t="n">
        <v>3.5</v>
      </c>
    </row>
    <row r="114" customFormat="false" ht="15" hidden="false" customHeight="false" outlineLevel="0" collapsed="false">
      <c r="A114" s="4" t="s">
        <v>153</v>
      </c>
      <c r="B114" s="4" t="s">
        <v>155</v>
      </c>
      <c r="C114" s="5"/>
      <c r="D114" s="6" t="n">
        <v>3.5</v>
      </c>
    </row>
    <row r="115" customFormat="false" ht="15" hidden="false" customHeight="false" outlineLevel="0" collapsed="false">
      <c r="A115" s="4" t="s">
        <v>153</v>
      </c>
      <c r="B115" s="4" t="s">
        <v>156</v>
      </c>
      <c r="C115" s="5"/>
      <c r="D115" s="6" t="n">
        <v>3.5</v>
      </c>
    </row>
    <row r="116" customFormat="false" ht="15" hidden="false" customHeight="false" outlineLevel="0" collapsed="false">
      <c r="A116" s="4" t="s">
        <v>153</v>
      </c>
      <c r="B116" s="4" t="s">
        <v>157</v>
      </c>
      <c r="C116" s="5"/>
      <c r="D116" s="6" t="n">
        <v>3.5</v>
      </c>
    </row>
    <row r="117" customFormat="false" ht="15" hidden="false" customHeight="false" outlineLevel="0" collapsed="false">
      <c r="A117" s="4" t="s">
        <v>153</v>
      </c>
      <c r="B117" s="4" t="s">
        <v>158</v>
      </c>
      <c r="C117" s="5" t="s">
        <v>159</v>
      </c>
      <c r="D117" s="6" t="n">
        <v>3</v>
      </c>
    </row>
    <row r="118" customFormat="false" ht="15" hidden="false" customHeight="false" outlineLevel="0" collapsed="false">
      <c r="A118" s="4" t="s">
        <v>153</v>
      </c>
      <c r="B118" s="4" t="s">
        <v>160</v>
      </c>
      <c r="C118" s="5" t="s">
        <v>161</v>
      </c>
      <c r="D118" s="6" t="n">
        <v>1.7</v>
      </c>
    </row>
    <row r="119" customFormat="false" ht="15" hidden="false" customHeight="false" outlineLevel="0" collapsed="false">
      <c r="A119" s="4" t="s">
        <v>153</v>
      </c>
      <c r="B119" s="4" t="s">
        <v>162</v>
      </c>
      <c r="C119" s="5"/>
      <c r="D119" s="6" t="n">
        <v>3.5</v>
      </c>
    </row>
    <row r="120" customFormat="false" ht="15" hidden="false" customHeight="false" outlineLevel="0" collapsed="false">
      <c r="A120" s="4" t="s">
        <v>153</v>
      </c>
      <c r="B120" s="4" t="s">
        <v>163</v>
      </c>
      <c r="C120" s="5"/>
      <c r="D120" s="6" t="n">
        <v>5.9</v>
      </c>
    </row>
    <row r="121" customFormat="false" ht="15" hidden="false" customHeight="false" outlineLevel="0" collapsed="false">
      <c r="A121" s="4" t="s">
        <v>153</v>
      </c>
      <c r="B121" s="4" t="s">
        <v>164</v>
      </c>
      <c r="C121" s="5"/>
      <c r="D121" s="6" t="n">
        <v>2</v>
      </c>
    </row>
    <row r="122" customFormat="false" ht="15" hidden="false" customHeight="false" outlineLevel="0" collapsed="false">
      <c r="A122" s="4" t="s">
        <v>153</v>
      </c>
      <c r="B122" s="4" t="s">
        <v>165</v>
      </c>
      <c r="C122" s="5"/>
      <c r="D122" s="6" t="n">
        <v>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5"/>
  </cols>
  <sheetData>
    <row r="1" customFormat="false" ht="17.35" hidden="false" customHeight="false" outlineLevel="0" collapsed="false">
      <c r="A1" s="1" t="s">
        <v>166</v>
      </c>
    </row>
    <row r="2" customFormat="false" ht="15" hidden="false" customHeight="false" outlineLevel="0" collapsed="false">
      <c r="A2" s="2" t="s">
        <v>167</v>
      </c>
    </row>
    <row r="4" customFormat="false" ht="30" hidden="false" customHeight="true" outlineLevel="0" collapsed="false">
      <c r="A4" s="8" t="s">
        <v>2</v>
      </c>
      <c r="B4" s="8" t="s">
        <v>168</v>
      </c>
      <c r="C4" s="8" t="s">
        <v>169</v>
      </c>
      <c r="D4" s="8" t="s">
        <v>170</v>
      </c>
      <c r="E4" s="8" t="s">
        <v>171</v>
      </c>
    </row>
    <row r="5" customFormat="false" ht="15" hidden="false" customHeight="false" outlineLevel="0" collapsed="false">
      <c r="A5" s="4" t="s">
        <v>6</v>
      </c>
      <c r="B5" s="4" t="n">
        <f aca="false">COUNTIF(Carte!$A$5:$A$122,A5)</f>
        <v>4</v>
      </c>
      <c r="C5" s="6" t="n">
        <f aca="false">IFERROR(_xlfn.MINIFS(Carte!$D$5:$D$122,Carte!$A$5:$A$122,A5),"-")</f>
        <v>9.9</v>
      </c>
      <c r="D5" s="6" t="n">
        <f aca="false">IFERROR(_xlfn.MAXIFS(Carte!$D$5:$D$122,Carte!$A$5:$A$122,A5),"-")</f>
        <v>16.9</v>
      </c>
      <c r="E5" s="6" t="n">
        <f aca="false">IFERROR(AVERAGEIFS(Carte!$D$5:$D$122,Carte!$A$5:$A$122,A5),"-")</f>
        <v>12.9</v>
      </c>
    </row>
    <row r="6" customFormat="false" ht="15" hidden="false" customHeight="false" outlineLevel="0" collapsed="false">
      <c r="A6" s="4" t="s">
        <v>14</v>
      </c>
      <c r="B6" s="4" t="n">
        <f aca="false">COUNTIF(Carte!$A$5:$A$122,A6)</f>
        <v>10</v>
      </c>
      <c r="C6" s="6" t="n">
        <f aca="false">IFERROR(_xlfn.MINIFS(Carte!$D$5:$D$122,Carte!$A$5:$A$122,A6),"-")</f>
        <v>5</v>
      </c>
      <c r="D6" s="6" t="n">
        <f aca="false">IFERROR(_xlfn.MAXIFS(Carte!$D$5:$D$122,Carte!$A$5:$A$122,A6),"-")</f>
        <v>17</v>
      </c>
      <c r="E6" s="6" t="n">
        <f aca="false">IFERROR(AVERAGEIFS(Carte!$D$5:$D$122,Carte!$A$5:$A$122,A6),"-")</f>
        <v>8.5</v>
      </c>
    </row>
    <row r="7" customFormat="false" ht="15" hidden="false" customHeight="false" outlineLevel="0" collapsed="false">
      <c r="A7" s="4" t="s">
        <v>29</v>
      </c>
      <c r="B7" s="4" t="n">
        <f aca="false">COUNTIF(Carte!$A$5:$A$122,A7)</f>
        <v>3</v>
      </c>
      <c r="C7" s="6" t="n">
        <f aca="false">IFERROR(_xlfn.MINIFS(Carte!$D$5:$D$122,Carte!$A$5:$A$122,A7),"-")</f>
        <v>7</v>
      </c>
      <c r="D7" s="6" t="n">
        <f aca="false">IFERROR(_xlfn.MAXIFS(Carte!$D$5:$D$122,Carte!$A$5:$A$122,A7),"-")</f>
        <v>11</v>
      </c>
      <c r="E7" s="6" t="n">
        <f aca="false">IFERROR(AVERAGEIFS(Carte!$D$5:$D$122,Carte!$A$5:$A$122,A7),"-")</f>
        <v>8.66666666666667</v>
      </c>
    </row>
    <row r="8" customFormat="false" ht="15" hidden="false" customHeight="false" outlineLevel="0" collapsed="false">
      <c r="A8" s="4" t="s">
        <v>33</v>
      </c>
      <c r="B8" s="4" t="n">
        <f aca="false">COUNTIF(Carte!$A$5:$A$122,A8)</f>
        <v>3</v>
      </c>
      <c r="C8" s="6" t="n">
        <f aca="false">IFERROR(_xlfn.MINIFS(Carte!$D$5:$D$122,Carte!$A$5:$A$122,A8),"-")</f>
        <v>14.5</v>
      </c>
      <c r="D8" s="6" t="n">
        <f aca="false">IFERROR(_xlfn.MAXIFS(Carte!$D$5:$D$122,Carte!$A$5:$A$122,A8),"-")</f>
        <v>16</v>
      </c>
      <c r="E8" s="6" t="n">
        <f aca="false">IFERROR(AVERAGEIFS(Carte!$D$5:$D$122,Carte!$A$5:$A$122,A8),"-")</f>
        <v>15.5</v>
      </c>
    </row>
    <row r="9" customFormat="false" ht="15" hidden="false" customHeight="false" outlineLevel="0" collapsed="false">
      <c r="A9" s="4" t="s">
        <v>40</v>
      </c>
      <c r="B9" s="4" t="n">
        <f aca="false">COUNTIF(Carte!$A$5:$A$122,A9)</f>
        <v>7</v>
      </c>
      <c r="C9" s="6" t="n">
        <f aca="false">IFERROR(_xlfn.MINIFS(Carte!$D$5:$D$122,Carte!$A$5:$A$122,A9),"-")</f>
        <v>17</v>
      </c>
      <c r="D9" s="6" t="n">
        <f aca="false">IFERROR(_xlfn.MAXIFS(Carte!$D$5:$D$122,Carte!$A$5:$A$122,A9),"-")</f>
        <v>25.5</v>
      </c>
      <c r="E9" s="6" t="n">
        <f aca="false">IFERROR(AVERAGEIFS(Carte!$D$5:$D$122,Carte!$A$5:$A$122,A9),"-")</f>
        <v>21.4142857142857</v>
      </c>
    </row>
    <row r="10" customFormat="false" ht="15" hidden="false" customHeight="false" outlineLevel="0" collapsed="false">
      <c r="A10" s="4" t="s">
        <v>49</v>
      </c>
      <c r="B10" s="4" t="n">
        <f aca="false">COUNTIF(Carte!$A$5:$A$122,A10)</f>
        <v>11</v>
      </c>
      <c r="C10" s="6" t="n">
        <f aca="false">IFERROR(_xlfn.MINIFS(Carte!$D$5:$D$122,Carte!$A$5:$A$122,A10),"-")</f>
        <v>17</v>
      </c>
      <c r="D10" s="6" t="n">
        <f aca="false">IFERROR(_xlfn.MAXIFS(Carte!$D$5:$D$122,Carte!$A$5:$A$122,A10),"-")</f>
        <v>25.5</v>
      </c>
      <c r="E10" s="6" t="n">
        <f aca="false">IFERROR(AVERAGEIFS(Carte!$D$5:$D$122,Carte!$A$5:$A$122,A10),"-")</f>
        <v>19.1</v>
      </c>
    </row>
    <row r="11" customFormat="false" ht="15" hidden="false" customHeight="false" outlineLevel="0" collapsed="false">
      <c r="A11" s="4" t="s">
        <v>65</v>
      </c>
      <c r="B11" s="4" t="n">
        <f aca="false">COUNTIF(Carte!$A$5:$A$122,A11)</f>
        <v>3</v>
      </c>
      <c r="C11" s="6" t="n">
        <f aca="false">IFERROR(_xlfn.MINIFS(Carte!$D$5:$D$122,Carte!$A$5:$A$122,A11),"-")</f>
        <v>14</v>
      </c>
      <c r="D11" s="6" t="n">
        <f aca="false">IFERROR(_xlfn.MAXIFS(Carte!$D$5:$D$122,Carte!$A$5:$A$122,A11),"-")</f>
        <v>17</v>
      </c>
      <c r="E11" s="6" t="n">
        <f aca="false">IFERROR(AVERAGEIFS(Carte!$D$5:$D$122,Carte!$A$5:$A$122,A11),"-")</f>
        <v>15.3333333333333</v>
      </c>
    </row>
    <row r="12" customFormat="false" ht="15" hidden="false" customHeight="false" outlineLevel="0" collapsed="false">
      <c r="A12" s="4" t="s">
        <v>69</v>
      </c>
      <c r="B12" s="4" t="n">
        <f aca="false">COUNTIF(Carte!$A$5:$A$122,A12)</f>
        <v>10</v>
      </c>
      <c r="C12" s="6" t="n">
        <f aca="false">IFERROR(_xlfn.MINIFS(Carte!$D$5:$D$122,Carte!$A$5:$A$122,A12),"-")</f>
        <v>6</v>
      </c>
      <c r="D12" s="6" t="n">
        <f aca="false">IFERROR(_xlfn.MAXIFS(Carte!$D$5:$D$122,Carte!$A$5:$A$122,A12),"-")</f>
        <v>13</v>
      </c>
      <c r="E12" s="6" t="n">
        <f aca="false">IFERROR(AVERAGEIFS(Carte!$D$5:$D$122,Carte!$A$5:$A$122,A12),"-")</f>
        <v>8.15</v>
      </c>
    </row>
    <row r="13" customFormat="false" ht="15" hidden="false" customHeight="false" outlineLevel="0" collapsed="false">
      <c r="A13" s="4" t="s">
        <v>80</v>
      </c>
      <c r="B13" s="4" t="n">
        <f aca="false">COUNTIF(Carte!$A$5:$A$122,A13)</f>
        <v>7</v>
      </c>
      <c r="C13" s="6" t="n">
        <f aca="false">IFERROR(_xlfn.MINIFS(Carte!$D$5:$D$122,Carte!$A$5:$A$122,A13),"-")</f>
        <v>2.9</v>
      </c>
      <c r="D13" s="6" t="n">
        <f aca="false">IFERROR(_xlfn.MAXIFS(Carte!$D$5:$D$122,Carte!$A$5:$A$122,A13),"-")</f>
        <v>8</v>
      </c>
      <c r="E13" s="6" t="n">
        <f aca="false">IFERROR(AVERAGEIFS(Carte!$D$5:$D$122,Carte!$A$5:$A$122,A13),"-")</f>
        <v>5.95714285714286</v>
      </c>
    </row>
    <row r="14" customFormat="false" ht="15" hidden="false" customHeight="false" outlineLevel="0" collapsed="false">
      <c r="A14" s="4" t="s">
        <v>90</v>
      </c>
      <c r="B14" s="4" t="n">
        <f aca="false">COUNTIF(Carte!$A$5:$A$122,A14)</f>
        <v>10</v>
      </c>
      <c r="C14" s="6" t="n">
        <f aca="false">IFERROR(_xlfn.MINIFS(Carte!$D$5:$D$122,Carte!$A$5:$A$122,A14),"-")</f>
        <v>4.5</v>
      </c>
      <c r="D14" s="6" t="n">
        <f aca="false">IFERROR(_xlfn.MAXIFS(Carte!$D$5:$D$122,Carte!$A$5:$A$122,A14),"-")</f>
        <v>32</v>
      </c>
      <c r="E14" s="6" t="n">
        <f aca="false">IFERROR(AVERAGEIFS(Carte!$D$5:$D$122,Carte!$A$5:$A$122,A14),"-")</f>
        <v>15.95</v>
      </c>
    </row>
    <row r="15" customFormat="false" ht="15" hidden="false" customHeight="false" outlineLevel="0" collapsed="false">
      <c r="A15" s="4" t="s">
        <v>105</v>
      </c>
      <c r="B15" s="4" t="n">
        <f aca="false">COUNTIF(Carte!$A$5:$A$122,A15)</f>
        <v>4</v>
      </c>
      <c r="C15" s="6" t="n">
        <f aca="false">IFERROR(_xlfn.MINIFS(Carte!$D$5:$D$122,Carte!$A$5:$A$122,A15),"-")</f>
        <v>4.5</v>
      </c>
      <c r="D15" s="6" t="n">
        <f aca="false">IFERROR(_xlfn.MAXIFS(Carte!$D$5:$D$122,Carte!$A$5:$A$122,A15),"-")</f>
        <v>23</v>
      </c>
      <c r="E15" s="6" t="n">
        <f aca="false">IFERROR(AVERAGEIFS(Carte!$D$5:$D$122,Carte!$A$5:$A$122,A15),"-")</f>
        <v>15.125</v>
      </c>
    </row>
    <row r="16" customFormat="false" ht="15" hidden="false" customHeight="false" outlineLevel="0" collapsed="false">
      <c r="A16" s="4" t="s">
        <v>112</v>
      </c>
      <c r="B16" s="4" t="n">
        <f aca="false">COUNTIF(Carte!$A$5:$A$122,A16)</f>
        <v>5</v>
      </c>
      <c r="C16" s="6" t="n">
        <f aca="false">IFERROR(_xlfn.MINIFS(Carte!$D$5:$D$122,Carte!$A$5:$A$122,A16),"-")</f>
        <v>4.5</v>
      </c>
      <c r="D16" s="6" t="n">
        <f aca="false">IFERROR(_xlfn.MAXIFS(Carte!$D$5:$D$122,Carte!$A$5:$A$122,A16),"-")</f>
        <v>19</v>
      </c>
      <c r="E16" s="6" t="n">
        <f aca="false">IFERROR(AVERAGEIFS(Carte!$D$5:$D$122,Carte!$A$5:$A$122,A16),"-")</f>
        <v>11.1</v>
      </c>
    </row>
    <row r="17" customFormat="false" ht="15" hidden="false" customHeight="false" outlineLevel="0" collapsed="false">
      <c r="A17" s="4" t="s">
        <v>118</v>
      </c>
      <c r="B17" s="4" t="n">
        <f aca="false">COUNTIF(Carte!$A$5:$A$122,A17)</f>
        <v>2</v>
      </c>
      <c r="C17" s="6" t="n">
        <f aca="false">IFERROR(_xlfn.MINIFS(Carte!$D$5:$D$122,Carte!$A$5:$A$122,A17),"-")</f>
        <v>6</v>
      </c>
      <c r="D17" s="6" t="n">
        <f aca="false">IFERROR(_xlfn.MAXIFS(Carte!$D$5:$D$122,Carte!$A$5:$A$122,A17),"-")</f>
        <v>45</v>
      </c>
      <c r="E17" s="6" t="n">
        <f aca="false">IFERROR(AVERAGEIFS(Carte!$D$5:$D$122,Carte!$A$5:$A$122,A17),"-")</f>
        <v>25.5</v>
      </c>
    </row>
    <row r="18" customFormat="false" ht="15" hidden="false" customHeight="false" outlineLevel="0" collapsed="false">
      <c r="A18" s="4" t="s">
        <v>121</v>
      </c>
      <c r="B18" s="4" t="n">
        <f aca="false">COUNTIF(Carte!$A$5:$A$122,A18)</f>
        <v>16</v>
      </c>
      <c r="C18" s="6" t="n">
        <f aca="false">IFERROR(_xlfn.MINIFS(Carte!$D$5:$D$122,Carte!$A$5:$A$122,A18),"-")</f>
        <v>4</v>
      </c>
      <c r="D18" s="6" t="n">
        <f aca="false">IFERROR(_xlfn.MAXIFS(Carte!$D$5:$D$122,Carte!$A$5:$A$122,A18),"-")</f>
        <v>8</v>
      </c>
      <c r="E18" s="6" t="n">
        <f aca="false">IFERROR(AVERAGEIFS(Carte!$D$5:$D$122,Carte!$A$5:$A$122,A18),"-")</f>
        <v>5.6875</v>
      </c>
    </row>
    <row r="19" customFormat="false" ht="15" hidden="false" customHeight="false" outlineLevel="0" collapsed="false">
      <c r="A19" s="4" t="s">
        <v>138</v>
      </c>
      <c r="B19" s="4" t="n">
        <f aca="false">COUNTIF(Carte!$A$5:$A$122,A19)</f>
        <v>7</v>
      </c>
      <c r="C19" s="6" t="n">
        <f aca="false">IFERROR(_xlfn.MINIFS(Carte!$D$5:$D$122,Carte!$A$5:$A$122,A19),"-")</f>
        <v>5</v>
      </c>
      <c r="D19" s="6" t="n">
        <f aca="false">IFERROR(_xlfn.MAXIFS(Carte!$D$5:$D$122,Carte!$A$5:$A$122,A19),"-")</f>
        <v>7</v>
      </c>
      <c r="E19" s="6" t="n">
        <f aca="false">IFERROR(AVERAGEIFS(Carte!$D$5:$D$122,Carte!$A$5:$A$122,A19),"-")</f>
        <v>6.07142857142857</v>
      </c>
    </row>
    <row r="20" customFormat="false" ht="15" hidden="false" customHeight="false" outlineLevel="0" collapsed="false">
      <c r="A20" s="4" t="s">
        <v>146</v>
      </c>
      <c r="B20" s="4" t="n">
        <f aca="false">COUNTIF(Carte!$A$5:$A$122,A20)</f>
        <v>6</v>
      </c>
      <c r="C20" s="6" t="n">
        <f aca="false">IFERROR(_xlfn.MINIFS(Carte!$D$5:$D$122,Carte!$A$5:$A$122,A20),"-")</f>
        <v>4</v>
      </c>
      <c r="D20" s="6" t="n">
        <f aca="false">IFERROR(_xlfn.MAXIFS(Carte!$D$5:$D$122,Carte!$A$5:$A$122,A20),"-")</f>
        <v>7</v>
      </c>
      <c r="E20" s="6" t="n">
        <f aca="false">IFERROR(AVERAGEIFS(Carte!$D$5:$D$122,Carte!$A$5:$A$122,A20),"-")</f>
        <v>5.33333333333333</v>
      </c>
    </row>
    <row r="21" customFormat="false" ht="15" hidden="false" customHeight="false" outlineLevel="0" collapsed="false">
      <c r="A21" s="4" t="s">
        <v>153</v>
      </c>
      <c r="B21" s="4" t="n">
        <f aca="false">COUNTIF(Carte!$A$5:$A$122,A21)</f>
        <v>10</v>
      </c>
      <c r="C21" s="6" t="n">
        <f aca="false">IFERROR(_xlfn.MINIFS(Carte!$D$5:$D$122,Carte!$A$5:$A$122,A21),"-")</f>
        <v>1.7</v>
      </c>
      <c r="D21" s="6" t="n">
        <f aca="false">IFERROR(_xlfn.MAXIFS(Carte!$D$5:$D$122,Carte!$A$5:$A$122,A21),"-")</f>
        <v>5.9</v>
      </c>
      <c r="E21" s="6" t="n">
        <f aca="false">IFERROR(AVERAGEIFS(Carte!$D$5:$D$122,Carte!$A$5:$A$122,A21),"-")</f>
        <v>3.26</v>
      </c>
    </row>
    <row r="22" customFormat="false" ht="15" hidden="false" customHeight="false" outlineLevel="0" collapsed="false">
      <c r="A22" s="9" t="s">
        <v>172</v>
      </c>
      <c r="B22" s="9" t="n">
        <f aca="false">SUM(B5:B21)</f>
        <v>118</v>
      </c>
      <c r="C22" s="10"/>
      <c r="D22" s="10"/>
      <c r="E22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2026-09-25T07:30:05Z</dcterms:created>
  <dc:creator>openpyxl</dc:creator>
  <dc:description/>
  <dc:language>en-US</dc:language>
  <cp:lastModifiedBy/>
  <dcterms:modified xsi:type="dcterms:W3CDTF">2026-09-25T07:30:05Z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